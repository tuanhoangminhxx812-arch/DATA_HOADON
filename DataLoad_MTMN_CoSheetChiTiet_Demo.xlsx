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HÓA ĐƠN" sheetId="1" state="visible" r:id="rId1"/>
    <sheet xmlns:r="http://schemas.openxmlformats.org/officeDocument/2006/relationships" name="DATALOAD TỔNG" sheetId="2" state="visible" r:id="rId2"/>
    <sheet xmlns:r="http://schemas.openxmlformats.org/officeDocument/2006/relationships" name="T08-2026" sheetId="3" state="visible" r:id="rId3"/>
    <sheet xmlns:r="http://schemas.openxmlformats.org/officeDocument/2006/relationships" name="T07-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family val="1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3" customWidth="1" min="3" max="3"/>
    <col width="10" customWidth="1" min="4" max="4"/>
    <col width="14" customWidth="1" min="5" max="5"/>
    <col width="36" customWidth="1" min="6" max="6"/>
    <col width="16" customWidth="1" min="7" max="7"/>
    <col width="36" customWidth="1" min="8" max="8"/>
    <col width="36" customWidth="1" min="9" max="9"/>
    <col width="17" customWidth="1" min="10" max="10"/>
    <col width="36" customWidth="1" min="11" max="11"/>
    <col width="42" customWidth="1" min="12" max="12"/>
    <col width="12" customWidth="1" min="13" max="13"/>
    <col width="12" customWidth="1" min="14" max="14"/>
    <col width="15" customWidth="1" min="15" max="15"/>
    <col width="18" customWidth="1" min="16" max="16"/>
    <col width="12" customWidth="1" min="17" max="17"/>
    <col width="16" customWidth="1" min="18" max="18"/>
    <col width="20" customWidth="1" min="19" max="19"/>
    <col width="38" customWidth="1" min="20" max="20"/>
    <col width="25" customWidth="1" min="21" max="21"/>
  </cols>
  <sheetData>
    <row r="1" ht="32" customHeight="1">
      <c r="A1" s="1" t="inlineStr">
        <is>
          <t>STT</t>
        </is>
      </c>
      <c r="B1" s="1" t="inlineStr">
        <is>
          <t>Tên file</t>
        </is>
      </c>
      <c r="C1" s="1" t="inlineStr">
        <is>
          <t>Ký hiệu HĐ</t>
        </is>
      </c>
      <c r="D1" s="1" t="inlineStr">
        <is>
          <t>Số HĐ</t>
        </is>
      </c>
      <c r="E1" s="1" t="inlineStr">
        <is>
          <t>Ngày HĐ</t>
        </is>
      </c>
      <c r="F1" s="1" t="inlineStr">
        <is>
          <t>Tên Đơn vị bán (Chủ đầu tư)</t>
        </is>
      </c>
      <c r="G1" s="1" t="inlineStr">
        <is>
          <t>Mã số thuế ĐV bán</t>
        </is>
      </c>
      <c r="H1" s="1" t="inlineStr">
        <is>
          <t>Địa chỉ Đơn vị bán</t>
        </is>
      </c>
      <c r="I1" s="1" t="inlineStr">
        <is>
          <t>Tên Khách hàng (Bên mua)</t>
        </is>
      </c>
      <c r="J1" s="1" t="inlineStr">
        <is>
          <t>Mã số thuế Khách hàng</t>
        </is>
      </c>
      <c r="K1" s="1" t="inlineStr">
        <is>
          <t>Địa chỉ Khách hàng</t>
        </is>
      </c>
      <c r="L1" s="1" t="inlineStr">
        <is>
          <t>Tên hàng hóa, dịch vụ</t>
        </is>
      </c>
      <c r="M1" s="1" t="inlineStr">
        <is>
          <t>Đơn vị tính</t>
        </is>
      </c>
      <c r="N1" s="1" t="inlineStr">
        <is>
          <t>Số lượng</t>
        </is>
      </c>
      <c r="O1" s="1" t="inlineStr">
        <is>
          <t>Đơn giá</t>
        </is>
      </c>
      <c r="P1" s="1" t="inlineStr">
        <is>
          <t>Thành tiền (chưa thuế)</t>
        </is>
      </c>
      <c r="Q1" s="1" t="inlineStr">
        <is>
          <t>Thuế suất</t>
        </is>
      </c>
      <c r="R1" s="1" t="inlineStr">
        <is>
          <t>Tiền thuế GTGT</t>
        </is>
      </c>
      <c r="S1" s="1" t="inlineStr">
        <is>
          <t>Tổng tiền thanh toán</t>
        </is>
      </c>
      <c r="T1" s="1" t="inlineStr">
        <is>
          <t>Số tiền bằng chữ</t>
        </is>
      </c>
      <c r="U1" s="1" t="inlineStr">
        <is>
          <t>Ghi chú / Diễn giải</t>
        </is>
      </c>
    </row>
    <row r="2">
      <c r="A2" s="2" t="n">
        <v>1</v>
      </c>
      <c r="B2" s="3" t="inlineStr">
        <is>
          <t>VUNG TAU 112.pdf</t>
        </is>
      </c>
      <c r="C2" s="2" t="inlineStr">
        <is>
          <t>1K26TAS</t>
        </is>
      </c>
      <c r="D2" s="2" t="n">
        <v>112</v>
      </c>
      <c r="E2" s="4" t="n">
        <v>46258</v>
      </c>
      <c r="F2" s="3" t="inlineStr">
        <is>
          <t>CHI NHÁNH TỔNG CÔNG TY ĐIỆN LỰC THÀNH PHỐ HỒ CHÍ MINH TNHH – CÔNG TY ĐIỆN LỰC ĐẤT ĐỎ</t>
        </is>
      </c>
      <c r="G2" s="2" t="inlineStr">
        <is>
          <t>0300951119-020</t>
        </is>
      </c>
      <c r="H2" s="3" t="inlineStr">
        <is>
          <t>Thửa đất số 1079, Tờ bản đồ số 62, Xã Đất Đỏ, Thành phố Hồ Chí Minh, Việt Nam</t>
        </is>
      </c>
      <c r="I2" s="3" t="inlineStr">
        <is>
          <t>CHI NHÁNH TỔNG CÔNG TY ĐIỆN LỰC THÀNH PHỐ HỒ CHÍ MINH TNHH – CÔNG TY ĐIỆN LỰC VŨNG TÀU</t>
        </is>
      </c>
      <c r="J2" s="2" t="inlineStr">
        <is>
          <t>0300951119-010</t>
        </is>
      </c>
      <c r="K2" s="3" t="inlineStr">
        <is>
          <t>Số 60 Đường Trần Hưng Đạo, Phường Vũng Tàu, Thành Phố Hồ Chi Minh, Việt Nam</t>
        </is>
      </c>
      <c r="L2" s="3" t="inlineStr">
        <is>
          <t>1. Nối bọc cách điện IPC 50-95 mm2
2. Kẹp ngừng cáp ABC 4*95 mm2
3. Khóa đai inox
4. Máy cắt hạ thế 3 pha 3 cực 100A
5. Dây đai inox 1200*20*0.4mm</t>
        </is>
      </c>
      <c r="M2" s="2" t="inlineStr">
        <is>
          <t>Cái
Cái
Cái
Cái
Cái</t>
        </is>
      </c>
      <c r="N2" s="5" t="inlineStr">
        <is>
          <t>600
20
1.000
100
1.000</t>
        </is>
      </c>
      <c r="O2" s="5" t="inlineStr">
        <is>
          <t>24.000,221
38.000
1.200
160.800
4.300</t>
        </is>
      </c>
      <c r="P2" s="6" t="n">
        <v>36740133</v>
      </c>
      <c r="Q2" s="2" t="inlineStr">
        <is>
          <t>8%</t>
        </is>
      </c>
      <c r="R2" s="6" t="n">
        <v>2939211</v>
      </c>
      <c r="S2" s="6" t="n">
        <v>39679344</v>
      </c>
      <c r="T2" s="3" t="inlineStr">
        <is>
          <t>Ba mươi chín triệu sáu trăm bảy mươi chín nghìn ba trăm bốn mươi bốn đồng./.</t>
        </is>
      </c>
      <c r="U2" s="3" t="inlineStr">
        <is>
          <t>Điều động VTTB theo CV số 3500/PĐN-PCVT ngày 02/07/2026 và CV 4543/PĐN-PCVT ngày 24/08/2026 - Phiếu giao hàng số 03.VG1.57.0030 ngày 24/08/2026 của Công ty Điện lực Đất Đỏ</t>
        </is>
      </c>
    </row>
    <row r="3">
      <c r="A3" s="2" t="n">
        <v>2</v>
      </c>
      <c r="B3" s="3" t="inlineStr">
        <is>
          <t>B15010049505 - 691.xml</t>
        </is>
      </c>
      <c r="C3" s="2" t="inlineStr">
        <is>
          <t>1C26MHC</t>
        </is>
      </c>
      <c r="D3" s="2" t="n">
        <v>691</v>
      </c>
      <c r="E3" s="4" t="n">
        <v>46226</v>
      </c>
      <c r="F3" s="3" t="inlineStr">
        <is>
          <t>CÔNG TY TNHH DỊCH VỤ DU LỊCH KHÁCH SẠN THC</t>
        </is>
      </c>
      <c r="G3" s="2" t="inlineStr">
        <is>
          <t>3502467178</t>
        </is>
      </c>
      <c r="H3" s="3" t="inlineStr">
        <is>
          <t>Số 2A Trần Quý Cáp, phường Vũng Tàu, Thành phố Hồ Chí Minh</t>
        </is>
      </c>
      <c r="I3" s="3" t="inlineStr">
        <is>
          <t>CHI NHÁNH TỔNG CÔNG TY ĐIỆN LỰC THÀNH PHỐ HỒ CHÍ MINH TNHH - CÔNG TY ĐIỆN LỰC VŨNG TÀU</t>
        </is>
      </c>
      <c r="J3" s="2" t="inlineStr">
        <is>
          <t>0300951119-010</t>
        </is>
      </c>
      <c r="K3" s="3" t="inlineStr">
        <is>
          <t>60 đường Trần Hưng Đạo, Phường Vũng Tàu, Thành phố Hồ Chí Minh, Việt Nam.</t>
        </is>
      </c>
      <c r="L3" s="3" t="inlineStr">
        <is>
          <t>Điện mặt trời áp mái từ ngày 01/06/2026 đến 30/06/2026- MKH:PB15010049505/001</t>
        </is>
      </c>
      <c r="M3" s="2" t="inlineStr">
        <is>
          <t>kWh</t>
        </is>
      </c>
      <c r="N3" s="5" t="inlineStr">
        <is>
          <t>17</t>
        </is>
      </c>
      <c r="O3" s="5" t="inlineStr">
        <is>
          <t>2.105</t>
        </is>
      </c>
      <c r="P3" s="6" t="n">
        <v>35785</v>
      </c>
      <c r="Q3" s="2" t="inlineStr">
        <is>
          <t>8%</t>
        </is>
      </c>
      <c r="R3" s="6" t="n">
        <v>2863</v>
      </c>
      <c r="S3" s="6" t="n">
        <v>38648</v>
      </c>
      <c r="T3" s="3" t="inlineStr">
        <is>
          <t>Ba mươi tám nghìn sáu trăm bốn mươi tám đồng</t>
        </is>
      </c>
      <c r="U3" s="3" t="inlineStr"/>
    </row>
    <row r="4">
      <c r="A4" s="2" t="n">
        <v>3</v>
      </c>
      <c r="B4" s="3" t="inlineStr">
        <is>
          <t>PB 15010094105 - 04.8.26.xml</t>
        </is>
      </c>
      <c r="C4" s="2" t="inlineStr">
        <is>
          <t>1C26TQS</t>
        </is>
      </c>
      <c r="D4" s="2" t="n">
        <v>131</v>
      </c>
      <c r="E4" s="4" t="n">
        <v>46238</v>
      </c>
      <c r="F4" s="3" t="inlineStr">
        <is>
          <t>CÔNG TY TRÁCH NHIỆM HỮU HẠN QUANG SÁNG</t>
        </is>
      </c>
      <c r="G4" s="2" t="inlineStr">
        <is>
          <t>3500385868</t>
        </is>
      </c>
      <c r="H4" s="3" t="inlineStr">
        <is>
          <t>48/12 Lương Văn Can, Phường Vũng Tàu, Thành phố Hồ Chí Minh, Việt Nam</t>
        </is>
      </c>
      <c r="I4" s="3" t="inlineStr">
        <is>
          <t>CHI NHÁNH TỔNG CÔNG TY ĐIỆN LỰC THÀNH PHỐ HỒ CHÍ MINH TNHH - CÔNG TY ĐIỆN LỰC VŨNG TÀU</t>
        </is>
      </c>
      <c r="J4" s="2" t="inlineStr">
        <is>
          <t>0300951119-010</t>
        </is>
      </c>
      <c r="K4" s="3" t="inlineStr">
        <is>
          <t>60 Đường Trần Hưng Đạo, Phường Vũng Tàu, Thành phố Hồ Chí Minh, Việt Nam</t>
        </is>
      </c>
      <c r="L4" s="3" t="inlineStr">
        <is>
          <t>Tiền bán điện của dự án điện mặt trời mái nhà từ ngày 01/07/2026 đến ngày 31/07/2026  Mã KH: PB 15010094105/001</t>
        </is>
      </c>
      <c r="M4" s="2" t="inlineStr">
        <is>
          <t>kwh</t>
        </is>
      </c>
      <c r="N4" s="5" t="inlineStr">
        <is>
          <t>595</t>
        </is>
      </c>
      <c r="O4" s="5" t="inlineStr">
        <is>
          <t>2.105</t>
        </is>
      </c>
      <c r="P4" s="6" t="n">
        <v>1252475</v>
      </c>
      <c r="Q4" s="2" t="inlineStr">
        <is>
          <t>8%</t>
        </is>
      </c>
      <c r="R4" s="6" t="n">
        <v>100198</v>
      </c>
      <c r="S4" s="6" t="n">
        <v>1352673</v>
      </c>
      <c r="T4" s="3" t="inlineStr">
        <is>
          <t>Một  triệu ba  trăm  năm  mươi hai  nghìn sáu  trăm  bảy  mươi ba  đồng</t>
        </is>
      </c>
      <c r="U4" s="3" t="inlineStr"/>
    </row>
    <row r="5">
      <c r="A5" s="2" t="n">
        <v>4</v>
      </c>
      <c r="B5" s="3" t="inlineStr">
        <is>
          <t>PB15010026641 - 18.8.26.xml</t>
        </is>
      </c>
      <c r="C5" s="2" t="inlineStr">
        <is>
          <t>1C26TYY</t>
        </is>
      </c>
      <c r="D5" s="2" t="n">
        <v>582</v>
      </c>
      <c r="E5" s="4" t="n">
        <v>46252</v>
      </c>
      <c r="F5" s="3" t="inlineStr">
        <is>
          <t>CÔNG TY TRÁCH NHIỆM HỮU HẠN HẢI NGỌC</t>
        </is>
      </c>
      <c r="G5" s="2" t="inlineStr">
        <is>
          <t>3500741121</t>
        </is>
      </c>
      <c r="H5" s="3" t="inlineStr">
        <is>
          <t>172 Nguyễn Tri Phương, Phường Tam Thắng, Thành phố Hồ Chí Minh, Việt Nam.</t>
        </is>
      </c>
      <c r="I5" s="3" t="inlineStr">
        <is>
          <t>CHI NHÁNH TỔNG CÔNG TY ĐIỆN LỰC THÀNH PHỐ HỒ CHÍ MINH TNHH - CÔNG TY ĐIỆN LỰC VŨNG TÀU</t>
        </is>
      </c>
      <c r="J5" s="2" t="inlineStr">
        <is>
          <t>0300951119-010</t>
        </is>
      </c>
      <c r="K5" s="3" t="inlineStr">
        <is>
          <t>60 đường Trần Hưng Đạo, Phường Vũng Tàu, Thành phố Hồ Chí Minh, Việt Nam</t>
        </is>
      </c>
      <c r="L5" s="3" t="inlineStr">
        <is>
          <t>1. Tiền bán điện của dự án điện mặt trời mái nhà từ ngày 01/07/2026 đến ngày 31/07/2026
2. Mã khách hàng: PB15010026641</t>
        </is>
      </c>
      <c r="M5" s="2" t="inlineStr">
        <is>
          <t xml:space="preserve">Kwh
</t>
        </is>
      </c>
      <c r="N5" s="5" t="inlineStr">
        <is>
          <t>217
0</t>
        </is>
      </c>
      <c r="O5" s="5" t="inlineStr">
        <is>
          <t>2.348
0</t>
        </is>
      </c>
      <c r="P5" s="6" t="n">
        <v>509516</v>
      </c>
      <c r="Q5" s="2" t="inlineStr">
        <is>
          <t>8%</t>
        </is>
      </c>
      <c r="R5" s="6" t="n">
        <v>40761</v>
      </c>
      <c r="S5" s="6" t="n">
        <v>550277</v>
      </c>
      <c r="T5" s="3" t="inlineStr">
        <is>
          <t>Năm trăm năm mươi ngàn hai trăm bảy mươi bảy đồng.</t>
        </is>
      </c>
      <c r="U5" s="3" t="inlineStr"/>
    </row>
    <row r="6">
      <c r="A6" s="7" t="inlineStr">
        <is>
          <t>TỔNG CỘNG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9">
        <f>SUM(P2:P5)</f>
        <v/>
      </c>
      <c r="Q6" s="8" t="n"/>
      <c r="R6" s="9">
        <f>SUM(R2:R5)</f>
        <v/>
      </c>
      <c r="S6" s="9">
        <f>SUM(S2:S5)</f>
        <v/>
      </c>
      <c r="T6" s="8" t="n"/>
      <c r="U6" s="8" t="n"/>
    </row>
  </sheetData>
  <mergeCells count="1">
    <mergeCell ref="A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0" t="n"/>
      <c r="D1" s="11" t="inlineStr">
        <is>
          <t>Thuế</t>
        </is>
      </c>
      <c r="E1" s="10" t="n"/>
      <c r="F1" s="10" t="inlineStr">
        <is>
          <t>Nội dung</t>
        </is>
      </c>
      <c r="G1" s="10" t="n"/>
      <c r="H1" s="10" t="n"/>
      <c r="K1" s="11" t="inlineStr">
        <is>
          <t>ký hiệu hóa đơn</t>
        </is>
      </c>
      <c r="L1" s="10" t="n"/>
      <c r="M1" s="12" t="inlineStr">
        <is>
          <t xml:space="preserve">số hóa đơn </t>
        </is>
      </c>
      <c r="O1" s="11" t="inlineStr">
        <is>
          <t>ngày hóa đơn</t>
        </is>
      </c>
      <c r="P1" s="10" t="n"/>
      <c r="S1" s="11" t="inlineStr">
        <is>
          <t>TEN KH</t>
        </is>
      </c>
      <c r="U1" s="11" t="inlineStr">
        <is>
          <t>MST</t>
        </is>
      </c>
      <c r="W1" s="11" t="inlineStr">
        <is>
          <t>ND</t>
        </is>
      </c>
      <c r="Y1" s="11" t="inlineStr">
        <is>
          <t>số tiền trước thuế</t>
        </is>
      </c>
      <c r="AA1" s="11" t="inlineStr">
        <is>
          <t>thue suat</t>
        </is>
      </c>
      <c r="AF1" s="11" t="n"/>
      <c r="AG1" s="11" t="inlineStr">
        <is>
          <t>test MST</t>
        </is>
      </c>
      <c r="AH1" s="11" t="inlineStr">
        <is>
          <t>test VAT</t>
        </is>
      </c>
    </row>
    <row r="2">
      <c r="A2" s="13" t="n">
        <v>1</v>
      </c>
      <c r="B2" s="13" t="inlineStr">
        <is>
          <t>082900.000000.000.13311000000.1182.0000.000.000000.0000.0000</t>
        </is>
      </c>
      <c r="C2" s="13" t="inlineStr">
        <is>
          <t>TAB</t>
        </is>
      </c>
      <c r="D2" s="14" t="n">
        <v>2939211</v>
      </c>
      <c r="E2" s="13" t="inlineStr">
        <is>
          <t>TAB</t>
        </is>
      </c>
      <c r="F2" s="13" t="inlineStr">
        <is>
          <t>Thuế GTGT điện MTMN T08-2026</t>
        </is>
      </c>
      <c r="G2" s="13" t="inlineStr">
        <is>
          <t>TAB</t>
        </is>
      </c>
      <c r="H2" s="13" t="inlineStr">
        <is>
          <t>TAB</t>
        </is>
      </c>
      <c r="I2" s="13" t="inlineStr">
        <is>
          <t>Kê khai thuế GTGT - Đầu vào</t>
        </is>
      </c>
      <c r="J2" s="13" t="inlineStr">
        <is>
          <t>TAB</t>
        </is>
      </c>
      <c r="K2" s="13" t="inlineStr">
        <is>
          <t>1K26TAS</t>
        </is>
      </c>
      <c r="L2" s="13" t="inlineStr">
        <is>
          <t>TAB</t>
        </is>
      </c>
      <c r="M2" s="13" t="n">
        <v>112</v>
      </c>
      <c r="N2" s="13" t="inlineStr">
        <is>
          <t>TAB</t>
        </is>
      </c>
      <c r="O2" s="15" t="n">
        <v>46258</v>
      </c>
      <c r="P2" s="13" t="inlineStr">
        <is>
          <t>TAB</t>
        </is>
      </c>
      <c r="Q2" s="13" t="n">
        <v>1</v>
      </c>
      <c r="R2" s="13" t="inlineStr">
        <is>
          <t>TAB</t>
        </is>
      </c>
      <c r="S2" s="13" t="inlineStr">
        <is>
          <t>CHI NHÁNH TỔNG CÔNG TY ĐIỆN LỰC THÀNH PHỐ HỒ CHÍ MINH TNHH – CÔNG TY ĐIỆN LỰC ĐẤT ĐỎ</t>
        </is>
      </c>
      <c r="T2" s="13" t="inlineStr">
        <is>
          <t>TAB</t>
        </is>
      </c>
      <c r="U2" s="13" t="inlineStr">
        <is>
          <t>0300951119-020</t>
        </is>
      </c>
      <c r="V2" s="13" t="inlineStr">
        <is>
          <t>TAB</t>
        </is>
      </c>
      <c r="W2" s="13" t="inlineStr">
        <is>
          <t>ĐIỆN MTMN T08-2026</t>
        </is>
      </c>
      <c r="X2" s="13" t="inlineStr">
        <is>
          <t>TAB</t>
        </is>
      </c>
      <c r="Y2" s="14" t="n">
        <v>36740133</v>
      </c>
      <c r="Z2" s="13" t="inlineStr">
        <is>
          <t>TAB</t>
        </is>
      </c>
      <c r="AA2" s="13" t="n">
        <v>8</v>
      </c>
      <c r="AB2" s="13" t="inlineStr">
        <is>
          <t>TAB</t>
        </is>
      </c>
      <c r="AC2" s="13" t="inlineStr">
        <is>
          <t>CK</t>
        </is>
      </c>
      <c r="AD2" s="13" t="inlineStr">
        <is>
          <t>tab</t>
        </is>
      </c>
      <c r="AE2" s="13" t="inlineStr">
        <is>
          <t>ENT</t>
        </is>
      </c>
      <c r="AG2" s="13">
        <f>LEN(U2)</f>
        <v/>
      </c>
      <c r="AH2" s="13">
        <f>ROUND(D2-(Y2*(AA2/100)),0)</f>
        <v/>
      </c>
    </row>
    <row r="3">
      <c r="A3" s="13">
        <f>A2+1</f>
        <v/>
      </c>
      <c r="B3" s="13" t="inlineStr">
        <is>
          <t>082900.000000.000.13311000000.1182.0000.000.000000.0000.0000</t>
        </is>
      </c>
      <c r="C3" s="13" t="inlineStr">
        <is>
          <t>TAB</t>
        </is>
      </c>
      <c r="D3" s="14" t="n">
        <v>2863</v>
      </c>
      <c r="E3" s="13" t="inlineStr">
        <is>
          <t>TAB</t>
        </is>
      </c>
      <c r="F3" s="13" t="inlineStr">
        <is>
          <t>Thuế GTGT điện MTMN T07-2026</t>
        </is>
      </c>
      <c r="G3" s="13" t="inlineStr">
        <is>
          <t>TAB</t>
        </is>
      </c>
      <c r="H3" s="13" t="inlineStr">
        <is>
          <t>TAB</t>
        </is>
      </c>
      <c r="I3" s="13" t="inlineStr">
        <is>
          <t>Kê khai thuế GTGT - Đầu vào</t>
        </is>
      </c>
      <c r="J3" s="13" t="inlineStr">
        <is>
          <t>TAB</t>
        </is>
      </c>
      <c r="K3" s="13" t="inlineStr">
        <is>
          <t>1C26MHC</t>
        </is>
      </c>
      <c r="L3" s="13" t="inlineStr">
        <is>
          <t>TAB</t>
        </is>
      </c>
      <c r="M3" s="13" t="n">
        <v>691</v>
      </c>
      <c r="N3" s="13" t="inlineStr">
        <is>
          <t>TAB</t>
        </is>
      </c>
      <c r="O3" s="15" t="n">
        <v>46226</v>
      </c>
      <c r="P3" s="13" t="inlineStr">
        <is>
          <t>TAB</t>
        </is>
      </c>
      <c r="Q3" s="13" t="n">
        <v>1</v>
      </c>
      <c r="R3" s="13" t="inlineStr">
        <is>
          <t>TAB</t>
        </is>
      </c>
      <c r="S3" s="13" t="inlineStr">
        <is>
          <t>CÔNG TY TNHH DỊCH VỤ DU LỊCH KHÁCH SẠN THC</t>
        </is>
      </c>
      <c r="T3" s="13" t="inlineStr">
        <is>
          <t>TAB</t>
        </is>
      </c>
      <c r="U3" s="13" t="n">
        <v>3502467178</v>
      </c>
      <c r="V3" s="13" t="inlineStr">
        <is>
          <t>TAB</t>
        </is>
      </c>
      <c r="W3" s="13" t="inlineStr">
        <is>
          <t>ĐIỆN MTMN T07-2026</t>
        </is>
      </c>
      <c r="X3" s="13" t="inlineStr">
        <is>
          <t>TAB</t>
        </is>
      </c>
      <c r="Y3" s="14" t="n">
        <v>35785</v>
      </c>
      <c r="Z3" s="13" t="inlineStr">
        <is>
          <t>TAB</t>
        </is>
      </c>
      <c r="AA3" s="13" t="n">
        <v>8</v>
      </c>
      <c r="AB3" s="13" t="inlineStr">
        <is>
          <t>TAB</t>
        </is>
      </c>
      <c r="AC3" s="13" t="inlineStr">
        <is>
          <t>CK</t>
        </is>
      </c>
      <c r="AD3" s="13" t="inlineStr">
        <is>
          <t>tab</t>
        </is>
      </c>
      <c r="AE3" s="13" t="inlineStr">
        <is>
          <t>ENT</t>
        </is>
      </c>
      <c r="AG3" s="13">
        <f>LEN(U3)</f>
        <v/>
      </c>
      <c r="AH3" s="13">
        <f>ROUND(D3-(Y3*(AA3/100)),0)</f>
        <v/>
      </c>
    </row>
    <row r="4">
      <c r="A4" s="13">
        <f>A3+1</f>
        <v/>
      </c>
      <c r="B4" s="13" t="inlineStr">
        <is>
          <t>082900.000000.000.13311000000.1182.0000.000.000000.0000.0000</t>
        </is>
      </c>
      <c r="C4" s="13" t="inlineStr">
        <is>
          <t>TAB</t>
        </is>
      </c>
      <c r="D4" s="14" t="n">
        <v>100198</v>
      </c>
      <c r="E4" s="13" t="inlineStr">
        <is>
          <t>TAB</t>
        </is>
      </c>
      <c r="F4" s="13" t="inlineStr">
        <is>
          <t>Thuế GTGT điện MTMN T07-2026</t>
        </is>
      </c>
      <c r="G4" s="13" t="inlineStr">
        <is>
          <t>TAB</t>
        </is>
      </c>
      <c r="H4" s="13" t="inlineStr">
        <is>
          <t>TAB</t>
        </is>
      </c>
      <c r="I4" s="13" t="inlineStr">
        <is>
          <t>Kê khai thuế GTGT - Đầu vào</t>
        </is>
      </c>
      <c r="J4" s="13" t="inlineStr">
        <is>
          <t>TAB</t>
        </is>
      </c>
      <c r="K4" s="13" t="inlineStr">
        <is>
          <t>1C26TQS</t>
        </is>
      </c>
      <c r="L4" s="13" t="inlineStr">
        <is>
          <t>TAB</t>
        </is>
      </c>
      <c r="M4" s="13" t="n">
        <v>131</v>
      </c>
      <c r="N4" s="13" t="inlineStr">
        <is>
          <t>TAB</t>
        </is>
      </c>
      <c r="O4" s="15" t="n">
        <v>46238</v>
      </c>
      <c r="P4" s="13" t="inlineStr">
        <is>
          <t>TAB</t>
        </is>
      </c>
      <c r="Q4" s="13" t="n">
        <v>1</v>
      </c>
      <c r="R4" s="13" t="inlineStr">
        <is>
          <t>TAB</t>
        </is>
      </c>
      <c r="S4" s="13" t="inlineStr">
        <is>
          <t>CÔNG TY TRÁCH NHIỆM HỮU HẠN QUANG SÁNG</t>
        </is>
      </c>
      <c r="T4" s="13" t="inlineStr">
        <is>
          <t>TAB</t>
        </is>
      </c>
      <c r="U4" s="13" t="n">
        <v>3500385868</v>
      </c>
      <c r="V4" s="13" t="inlineStr">
        <is>
          <t>TAB</t>
        </is>
      </c>
      <c r="W4" s="13" t="inlineStr">
        <is>
          <t>ĐIỆN MTMN T07-2026</t>
        </is>
      </c>
      <c r="X4" s="13" t="inlineStr">
        <is>
          <t>TAB</t>
        </is>
      </c>
      <c r="Y4" s="14" t="n">
        <v>1252475</v>
      </c>
      <c r="Z4" s="13" t="inlineStr">
        <is>
          <t>TAB</t>
        </is>
      </c>
      <c r="AA4" s="13" t="n">
        <v>8</v>
      </c>
      <c r="AB4" s="13" t="inlineStr">
        <is>
          <t>TAB</t>
        </is>
      </c>
      <c r="AC4" s="13" t="inlineStr">
        <is>
          <t>CK</t>
        </is>
      </c>
      <c r="AD4" s="13" t="inlineStr">
        <is>
          <t>tab</t>
        </is>
      </c>
      <c r="AE4" s="13" t="inlineStr">
        <is>
          <t>ENT</t>
        </is>
      </c>
      <c r="AG4" s="13">
        <f>LEN(U4)</f>
        <v/>
      </c>
      <c r="AH4" s="13">
        <f>ROUND(D4-(Y4*(AA4/100)),0)</f>
        <v/>
      </c>
    </row>
    <row r="5">
      <c r="A5" s="13">
        <f>A4+1</f>
        <v/>
      </c>
      <c r="B5" s="13" t="inlineStr">
        <is>
          <t>082900.000000.000.13311000000.1182.0000.000.000000.0000.0000</t>
        </is>
      </c>
      <c r="C5" s="13" t="inlineStr">
        <is>
          <t>TAB</t>
        </is>
      </c>
      <c r="D5" s="14" t="n">
        <v>40761</v>
      </c>
      <c r="E5" s="13" t="inlineStr">
        <is>
          <t>TAB</t>
        </is>
      </c>
      <c r="F5" s="13" t="inlineStr">
        <is>
          <t>Thuế GTGT điện MTMN T07-2026</t>
        </is>
      </c>
      <c r="G5" s="13" t="inlineStr">
        <is>
          <t>TAB</t>
        </is>
      </c>
      <c r="H5" s="13" t="inlineStr">
        <is>
          <t>TAB</t>
        </is>
      </c>
      <c r="I5" s="13" t="inlineStr">
        <is>
          <t>Kê khai thuế GTGT - Đầu vào</t>
        </is>
      </c>
      <c r="J5" s="13" t="inlineStr">
        <is>
          <t>TAB</t>
        </is>
      </c>
      <c r="K5" s="13" t="inlineStr">
        <is>
          <t>1C26TYY</t>
        </is>
      </c>
      <c r="L5" s="13" t="inlineStr">
        <is>
          <t>TAB</t>
        </is>
      </c>
      <c r="M5" s="13" t="n">
        <v>582</v>
      </c>
      <c r="N5" s="13" t="inlineStr">
        <is>
          <t>TAB</t>
        </is>
      </c>
      <c r="O5" s="15" t="n">
        <v>46252</v>
      </c>
      <c r="P5" s="13" t="inlineStr">
        <is>
          <t>TAB</t>
        </is>
      </c>
      <c r="Q5" s="13" t="n">
        <v>1</v>
      </c>
      <c r="R5" s="13" t="inlineStr">
        <is>
          <t>TAB</t>
        </is>
      </c>
      <c r="S5" s="13" t="inlineStr">
        <is>
          <t>CÔNG TY TRÁCH NHIỆM HỮU HẠN HẢI NGỌC</t>
        </is>
      </c>
      <c r="T5" s="13" t="inlineStr">
        <is>
          <t>TAB</t>
        </is>
      </c>
      <c r="U5" s="13" t="n">
        <v>3500741121</v>
      </c>
      <c r="V5" s="13" t="inlineStr">
        <is>
          <t>TAB</t>
        </is>
      </c>
      <c r="W5" s="13" t="inlineStr">
        <is>
          <t>ĐIỆN MTMN T07-2026</t>
        </is>
      </c>
      <c r="X5" s="13" t="inlineStr">
        <is>
          <t>TAB</t>
        </is>
      </c>
      <c r="Y5" s="14" t="n">
        <v>509516</v>
      </c>
      <c r="Z5" s="13" t="inlineStr">
        <is>
          <t>TAB</t>
        </is>
      </c>
      <c r="AA5" s="13" t="n">
        <v>8</v>
      </c>
      <c r="AB5" s="13" t="inlineStr">
        <is>
          <t>TAB</t>
        </is>
      </c>
      <c r="AC5" s="13" t="inlineStr">
        <is>
          <t>CK</t>
        </is>
      </c>
      <c r="AD5" s="13" t="inlineStr">
        <is>
          <t>tab</t>
        </is>
      </c>
      <c r="AE5" s="13" t="inlineStr">
        <is>
          <t>ENT</t>
        </is>
      </c>
      <c r="AG5" s="13">
        <f>LEN(U5)</f>
        <v/>
      </c>
      <c r="AH5" s="13">
        <f>ROUND(D5-(Y5*(AA5/100)),0)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0" t="n"/>
      <c r="D1" s="11" t="inlineStr">
        <is>
          <t>Thuế</t>
        </is>
      </c>
      <c r="E1" s="10" t="n"/>
      <c r="F1" s="10" t="inlineStr">
        <is>
          <t>Nội dung</t>
        </is>
      </c>
      <c r="G1" s="10" t="n"/>
      <c r="H1" s="10" t="n"/>
      <c r="K1" s="11" t="inlineStr">
        <is>
          <t>ký hiệu hóa đơn</t>
        </is>
      </c>
      <c r="L1" s="10" t="n"/>
      <c r="M1" s="12" t="inlineStr">
        <is>
          <t xml:space="preserve">số hóa đơn </t>
        </is>
      </c>
      <c r="O1" s="11" t="inlineStr">
        <is>
          <t>ngày hóa đơn</t>
        </is>
      </c>
      <c r="P1" s="10" t="n"/>
      <c r="S1" s="11" t="inlineStr">
        <is>
          <t>TEN KH</t>
        </is>
      </c>
      <c r="U1" s="11" t="inlineStr">
        <is>
          <t>MST</t>
        </is>
      </c>
      <c r="W1" s="11" t="inlineStr">
        <is>
          <t>ND</t>
        </is>
      </c>
      <c r="Y1" s="11" t="inlineStr">
        <is>
          <t>số tiền trước thuế</t>
        </is>
      </c>
      <c r="AA1" s="11" t="inlineStr">
        <is>
          <t>thue suat</t>
        </is>
      </c>
      <c r="AF1" s="11" t="n"/>
      <c r="AG1" s="11" t="inlineStr">
        <is>
          <t>test MST</t>
        </is>
      </c>
      <c r="AH1" s="11" t="inlineStr">
        <is>
          <t>test VAT</t>
        </is>
      </c>
    </row>
    <row r="2">
      <c r="A2" s="13" t="n">
        <v>1</v>
      </c>
      <c r="B2" s="13" t="inlineStr">
        <is>
          <t>082900.000000.000.13311000000.1182.0000.000.000000.0000.0000</t>
        </is>
      </c>
      <c r="C2" s="13" t="inlineStr">
        <is>
          <t>TAB</t>
        </is>
      </c>
      <c r="D2" s="14" t="n">
        <v>2939211</v>
      </c>
      <c r="E2" s="13" t="inlineStr">
        <is>
          <t>TAB</t>
        </is>
      </c>
      <c r="F2" s="13" t="inlineStr">
        <is>
          <t>Thuế GTGT điện MTMN T08-2026</t>
        </is>
      </c>
      <c r="G2" s="13" t="inlineStr">
        <is>
          <t>TAB</t>
        </is>
      </c>
      <c r="H2" s="13" t="inlineStr">
        <is>
          <t>TAB</t>
        </is>
      </c>
      <c r="I2" s="13" t="inlineStr">
        <is>
          <t>Kê khai thuế GTGT - Đầu vào</t>
        </is>
      </c>
      <c r="J2" s="13" t="inlineStr">
        <is>
          <t>TAB</t>
        </is>
      </c>
      <c r="K2" s="13" t="inlineStr">
        <is>
          <t>1K26TAS</t>
        </is>
      </c>
      <c r="L2" s="13" t="inlineStr">
        <is>
          <t>TAB</t>
        </is>
      </c>
      <c r="M2" s="13" t="n">
        <v>112</v>
      </c>
      <c r="N2" s="13" t="inlineStr">
        <is>
          <t>TAB</t>
        </is>
      </c>
      <c r="O2" s="15" t="n">
        <v>46258</v>
      </c>
      <c r="P2" s="13" t="inlineStr">
        <is>
          <t>TAB</t>
        </is>
      </c>
      <c r="Q2" s="13" t="n">
        <v>1</v>
      </c>
      <c r="R2" s="13" t="inlineStr">
        <is>
          <t>TAB</t>
        </is>
      </c>
      <c r="S2" s="13" t="inlineStr">
        <is>
          <t>CHI NHÁNH TỔNG CÔNG TY ĐIỆN LỰC THÀNH PHỐ HỒ CHÍ MINH TNHH – CÔNG TY ĐIỆN LỰC ĐẤT ĐỎ</t>
        </is>
      </c>
      <c r="T2" s="13" t="inlineStr">
        <is>
          <t>TAB</t>
        </is>
      </c>
      <c r="U2" s="13" t="inlineStr">
        <is>
          <t>0300951119-020</t>
        </is>
      </c>
      <c r="V2" s="13" t="inlineStr">
        <is>
          <t>TAB</t>
        </is>
      </c>
      <c r="W2" s="13" t="inlineStr">
        <is>
          <t>ĐIỆN MTMN T08-2026</t>
        </is>
      </c>
      <c r="X2" s="13" t="inlineStr">
        <is>
          <t>TAB</t>
        </is>
      </c>
      <c r="Y2" s="14" t="n">
        <v>36740133</v>
      </c>
      <c r="Z2" s="13" t="inlineStr">
        <is>
          <t>TAB</t>
        </is>
      </c>
      <c r="AA2" s="13" t="n">
        <v>8</v>
      </c>
      <c r="AB2" s="13" t="inlineStr">
        <is>
          <t>TAB</t>
        </is>
      </c>
      <c r="AC2" s="13" t="inlineStr">
        <is>
          <t>CK</t>
        </is>
      </c>
      <c r="AD2" s="13" t="inlineStr">
        <is>
          <t>tab</t>
        </is>
      </c>
      <c r="AE2" s="13" t="inlineStr">
        <is>
          <t>ENT</t>
        </is>
      </c>
      <c r="AG2" s="13">
        <f>LEN(U2)</f>
        <v/>
      </c>
      <c r="AH2" s="13">
        <f>ROUND(D2-(Y2*(AA2/100)),0)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0" t="n"/>
      <c r="D1" s="11" t="inlineStr">
        <is>
          <t>Thuế</t>
        </is>
      </c>
      <c r="E1" s="10" t="n"/>
      <c r="F1" s="10" t="inlineStr">
        <is>
          <t>Nội dung</t>
        </is>
      </c>
      <c r="G1" s="10" t="n"/>
      <c r="H1" s="10" t="n"/>
      <c r="K1" s="11" t="inlineStr">
        <is>
          <t>ký hiệu hóa đơn</t>
        </is>
      </c>
      <c r="L1" s="10" t="n"/>
      <c r="M1" s="12" t="inlineStr">
        <is>
          <t xml:space="preserve">số hóa đơn </t>
        </is>
      </c>
      <c r="O1" s="11" t="inlineStr">
        <is>
          <t>ngày hóa đơn</t>
        </is>
      </c>
      <c r="P1" s="10" t="n"/>
      <c r="S1" s="11" t="inlineStr">
        <is>
          <t>TEN KH</t>
        </is>
      </c>
      <c r="U1" s="11" t="inlineStr">
        <is>
          <t>MST</t>
        </is>
      </c>
      <c r="W1" s="11" t="inlineStr">
        <is>
          <t>ND</t>
        </is>
      </c>
      <c r="Y1" s="11" t="inlineStr">
        <is>
          <t>số tiền trước thuế</t>
        </is>
      </c>
      <c r="AA1" s="11" t="inlineStr">
        <is>
          <t>thue suat</t>
        </is>
      </c>
      <c r="AF1" s="11" t="n"/>
      <c r="AG1" s="11" t="inlineStr">
        <is>
          <t>test MST</t>
        </is>
      </c>
      <c r="AH1" s="11" t="inlineStr">
        <is>
          <t>test VAT</t>
        </is>
      </c>
    </row>
    <row r="2">
      <c r="A2" s="13" t="n">
        <v>1</v>
      </c>
      <c r="B2" s="13" t="inlineStr">
        <is>
          <t>082900.000000.000.13311000000.1182.0000.000.000000.0000.0000</t>
        </is>
      </c>
      <c r="C2" s="13" t="inlineStr">
        <is>
          <t>TAB</t>
        </is>
      </c>
      <c r="D2" s="14" t="n">
        <v>2863</v>
      </c>
      <c r="E2" s="13" t="inlineStr">
        <is>
          <t>TAB</t>
        </is>
      </c>
      <c r="F2" s="13" t="inlineStr">
        <is>
          <t>Thuế GTGT điện MTMN T07-2026</t>
        </is>
      </c>
      <c r="G2" s="13" t="inlineStr">
        <is>
          <t>TAB</t>
        </is>
      </c>
      <c r="H2" s="13" t="inlineStr">
        <is>
          <t>TAB</t>
        </is>
      </c>
      <c r="I2" s="13" t="inlineStr">
        <is>
          <t>Kê khai thuế GTGT - Đầu vào</t>
        </is>
      </c>
      <c r="J2" s="13" t="inlineStr">
        <is>
          <t>TAB</t>
        </is>
      </c>
      <c r="K2" s="13" t="inlineStr">
        <is>
          <t>1C26MHC</t>
        </is>
      </c>
      <c r="L2" s="13" t="inlineStr">
        <is>
          <t>TAB</t>
        </is>
      </c>
      <c r="M2" s="13" t="n">
        <v>691</v>
      </c>
      <c r="N2" s="13" t="inlineStr">
        <is>
          <t>TAB</t>
        </is>
      </c>
      <c r="O2" s="15" t="n">
        <v>46226</v>
      </c>
      <c r="P2" s="13" t="inlineStr">
        <is>
          <t>TAB</t>
        </is>
      </c>
      <c r="Q2" s="13" t="n">
        <v>1</v>
      </c>
      <c r="R2" s="13" t="inlineStr">
        <is>
          <t>TAB</t>
        </is>
      </c>
      <c r="S2" s="13" t="inlineStr">
        <is>
          <t>CÔNG TY TNHH DỊCH VỤ DU LỊCH KHÁCH SẠN THC</t>
        </is>
      </c>
      <c r="T2" s="13" t="inlineStr">
        <is>
          <t>TAB</t>
        </is>
      </c>
      <c r="U2" s="13" t="n">
        <v>3502467178</v>
      </c>
      <c r="V2" s="13" t="inlineStr">
        <is>
          <t>TAB</t>
        </is>
      </c>
      <c r="W2" s="13" t="inlineStr">
        <is>
          <t>ĐIỆN MTMN T07-2026</t>
        </is>
      </c>
      <c r="X2" s="13" t="inlineStr">
        <is>
          <t>TAB</t>
        </is>
      </c>
      <c r="Y2" s="14" t="n">
        <v>35785</v>
      </c>
      <c r="Z2" s="13" t="inlineStr">
        <is>
          <t>TAB</t>
        </is>
      </c>
      <c r="AA2" s="13" t="n">
        <v>8</v>
      </c>
      <c r="AB2" s="13" t="inlineStr">
        <is>
          <t>TAB</t>
        </is>
      </c>
      <c r="AC2" s="13" t="inlineStr">
        <is>
          <t>CK</t>
        </is>
      </c>
      <c r="AD2" s="13" t="inlineStr">
        <is>
          <t>tab</t>
        </is>
      </c>
      <c r="AE2" s="13" t="inlineStr">
        <is>
          <t>ENT</t>
        </is>
      </c>
      <c r="AG2" s="13">
        <f>LEN(U2)</f>
        <v/>
      </c>
      <c r="AH2" s="13">
        <f>ROUND(D2-(Y2*(AA2/100)),0)</f>
        <v/>
      </c>
    </row>
    <row r="3">
      <c r="A3" s="13">
        <f>A2+1</f>
        <v/>
      </c>
      <c r="B3" s="13" t="inlineStr">
        <is>
          <t>082900.000000.000.13311000000.1182.0000.000.000000.0000.0000</t>
        </is>
      </c>
      <c r="C3" s="13" t="inlineStr">
        <is>
          <t>TAB</t>
        </is>
      </c>
      <c r="D3" s="14" t="n">
        <v>100198</v>
      </c>
      <c r="E3" s="13" t="inlineStr">
        <is>
          <t>TAB</t>
        </is>
      </c>
      <c r="F3" s="13" t="inlineStr">
        <is>
          <t>Thuế GTGT điện MTMN T07-2026</t>
        </is>
      </c>
      <c r="G3" s="13" t="inlineStr">
        <is>
          <t>TAB</t>
        </is>
      </c>
      <c r="H3" s="13" t="inlineStr">
        <is>
          <t>TAB</t>
        </is>
      </c>
      <c r="I3" s="13" t="inlineStr">
        <is>
          <t>Kê khai thuế GTGT - Đầu vào</t>
        </is>
      </c>
      <c r="J3" s="13" t="inlineStr">
        <is>
          <t>TAB</t>
        </is>
      </c>
      <c r="K3" s="13" t="inlineStr">
        <is>
          <t>1C26TQS</t>
        </is>
      </c>
      <c r="L3" s="13" t="inlineStr">
        <is>
          <t>TAB</t>
        </is>
      </c>
      <c r="M3" s="13" t="n">
        <v>131</v>
      </c>
      <c r="N3" s="13" t="inlineStr">
        <is>
          <t>TAB</t>
        </is>
      </c>
      <c r="O3" s="15" t="n">
        <v>46238</v>
      </c>
      <c r="P3" s="13" t="inlineStr">
        <is>
          <t>TAB</t>
        </is>
      </c>
      <c r="Q3" s="13" t="n">
        <v>1</v>
      </c>
      <c r="R3" s="13" t="inlineStr">
        <is>
          <t>TAB</t>
        </is>
      </c>
      <c r="S3" s="13" t="inlineStr">
        <is>
          <t>CÔNG TY TRÁCH NHIỆM HỮU HẠN QUANG SÁNG</t>
        </is>
      </c>
      <c r="T3" s="13" t="inlineStr">
        <is>
          <t>TAB</t>
        </is>
      </c>
      <c r="U3" s="13" t="n">
        <v>3500385868</v>
      </c>
      <c r="V3" s="13" t="inlineStr">
        <is>
          <t>TAB</t>
        </is>
      </c>
      <c r="W3" s="13" t="inlineStr">
        <is>
          <t>ĐIỆN MTMN T07-2026</t>
        </is>
      </c>
      <c r="X3" s="13" t="inlineStr">
        <is>
          <t>TAB</t>
        </is>
      </c>
      <c r="Y3" s="14" t="n">
        <v>1252475</v>
      </c>
      <c r="Z3" s="13" t="inlineStr">
        <is>
          <t>TAB</t>
        </is>
      </c>
      <c r="AA3" s="13" t="n">
        <v>8</v>
      </c>
      <c r="AB3" s="13" t="inlineStr">
        <is>
          <t>TAB</t>
        </is>
      </c>
      <c r="AC3" s="13" t="inlineStr">
        <is>
          <t>CK</t>
        </is>
      </c>
      <c r="AD3" s="13" t="inlineStr">
        <is>
          <t>tab</t>
        </is>
      </c>
      <c r="AE3" s="13" t="inlineStr">
        <is>
          <t>ENT</t>
        </is>
      </c>
      <c r="AG3" s="13">
        <f>LEN(U3)</f>
        <v/>
      </c>
      <c r="AH3" s="13">
        <f>ROUND(D3-(Y3*(AA3/100)),0)</f>
        <v/>
      </c>
    </row>
    <row r="4">
      <c r="A4" s="13">
        <f>A3+1</f>
        <v/>
      </c>
      <c r="B4" s="13" t="inlineStr">
        <is>
          <t>082900.000000.000.13311000000.1182.0000.000.000000.0000.0000</t>
        </is>
      </c>
      <c r="C4" s="13" t="inlineStr">
        <is>
          <t>TAB</t>
        </is>
      </c>
      <c r="D4" s="14" t="n">
        <v>40761</v>
      </c>
      <c r="E4" s="13" t="inlineStr">
        <is>
          <t>TAB</t>
        </is>
      </c>
      <c r="F4" s="13" t="inlineStr">
        <is>
          <t>Thuế GTGT điện MTMN T07-2026</t>
        </is>
      </c>
      <c r="G4" s="13" t="inlineStr">
        <is>
          <t>TAB</t>
        </is>
      </c>
      <c r="H4" s="13" t="inlineStr">
        <is>
          <t>TAB</t>
        </is>
      </c>
      <c r="I4" s="13" t="inlineStr">
        <is>
          <t>Kê khai thuế GTGT - Đầu vào</t>
        </is>
      </c>
      <c r="J4" s="13" t="inlineStr">
        <is>
          <t>TAB</t>
        </is>
      </c>
      <c r="K4" s="13" t="inlineStr">
        <is>
          <t>1C26TYY</t>
        </is>
      </c>
      <c r="L4" s="13" t="inlineStr">
        <is>
          <t>TAB</t>
        </is>
      </c>
      <c r="M4" s="13" t="n">
        <v>582</v>
      </c>
      <c r="N4" s="13" t="inlineStr">
        <is>
          <t>TAB</t>
        </is>
      </c>
      <c r="O4" s="15" t="n">
        <v>46252</v>
      </c>
      <c r="P4" s="13" t="inlineStr">
        <is>
          <t>TAB</t>
        </is>
      </c>
      <c r="Q4" s="13" t="n">
        <v>1</v>
      </c>
      <c r="R4" s="13" t="inlineStr">
        <is>
          <t>TAB</t>
        </is>
      </c>
      <c r="S4" s="13" t="inlineStr">
        <is>
          <t>CÔNG TY TRÁCH NHIỆM HỮU HẠN HẢI NGỌC</t>
        </is>
      </c>
      <c r="T4" s="13" t="inlineStr">
        <is>
          <t>TAB</t>
        </is>
      </c>
      <c r="U4" s="13" t="n">
        <v>3500741121</v>
      </c>
      <c r="V4" s="13" t="inlineStr">
        <is>
          <t>TAB</t>
        </is>
      </c>
      <c r="W4" s="13" t="inlineStr">
        <is>
          <t>ĐIỆN MTMN T07-2026</t>
        </is>
      </c>
      <c r="X4" s="13" t="inlineStr">
        <is>
          <t>TAB</t>
        </is>
      </c>
      <c r="Y4" s="14" t="n">
        <v>509516</v>
      </c>
      <c r="Z4" s="13" t="inlineStr">
        <is>
          <t>TAB</t>
        </is>
      </c>
      <c r="AA4" s="13" t="n">
        <v>8</v>
      </c>
      <c r="AB4" s="13" t="inlineStr">
        <is>
          <t>TAB</t>
        </is>
      </c>
      <c r="AC4" s="13" t="inlineStr">
        <is>
          <t>CK</t>
        </is>
      </c>
      <c r="AD4" s="13" t="inlineStr">
        <is>
          <t>tab</t>
        </is>
      </c>
      <c r="AE4" s="13" t="inlineStr">
        <is>
          <t>ENT</t>
        </is>
      </c>
      <c r="AG4" s="13">
        <f>LEN(U4)</f>
        <v/>
      </c>
      <c r="AH4" s="13">
        <f>ROUND(D4-(Y4*(AA4/100)),0)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2026-10-19T03:44:45Z</dcterms:created>
  <dcterms:modified xmlns:dcterms="http://purl.org/dc/terms/" xmlns:xsi="http://www.w3.org/2001/XMLSchema-instance" xsi:type="dcterms:W3CDTF">2026-10-19T03:44:46Z</dcterms:modified>
</cp:coreProperties>
</file>